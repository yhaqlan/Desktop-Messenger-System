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e045ca4b5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93acdddfdd840aa"/>
    <x:sheet xmlns:r="http://schemas.openxmlformats.org/officeDocument/2006/relationships" name="Work Breakdown" sheetId="2" r:id="R0fe15805d5ca4447"/>
    <x:sheet xmlns:r="http://schemas.openxmlformats.org/officeDocument/2006/relationships" name="Responsibility" sheetId="3" r:id="R4317416a2cb54a13"/>
    <x:sheet xmlns:r="http://schemas.openxmlformats.org/officeDocument/2006/relationships" name="Risk Register" sheetId="4" r:id="R4f996d42cf144a4c"/>
    <x:sheet xmlns:r="http://schemas.openxmlformats.org/officeDocument/2006/relationships" name="Test Matrix" sheetId="5" r:id="R6ba64bf2f41d45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b/>
      <x:sz val="20"/>
      <x:color rgb="FFFFFFFF"/>
      <x:name val="Carlito"/>
    </x:font>
    <x:font>
      <x:b/>
      <x:sz val="9"/>
      <x:color rgb="FFFFFFFF"/>
      <x:name val="Carlito"/>
    </x:font>
    <x:font>
      <x:b/>
      <x:sz val="11"/>
      <x:color rgb="FF172554"/>
      <x:name val="Carlito"/>
    </x:font>
    <x:font>
      <x:sz val="9"/>
      <x:color rgb="FF172033"/>
      <x:name val="Carlito"/>
    </x:font>
    <x:font>
      <x:b/>
      <x:sz val="11"/>
      <x:color rgb="FFFFFFFF"/>
      <x:name val="Carlito"/>
    </x:font>
    <x:font>
      <x:b/>
      <x:sz val="14"/>
      <x:color rgb="FF2563EB"/>
      <x:name val="Carlito"/>
    </x:font>
    <x:font>
      <x:b/>
      <x:sz val="9"/>
      <x:color rgb="FF0F9D8A"/>
      <x:name val="Carlito"/>
    </x:font>
    <x:font>
      <x:b/>
      <x:sz val="9"/>
      <x:color rgb="FFD97706"/>
      <x:name val="Carlito"/>
    </x:font>
    <x:font>
      <x:b/>
      <x:sz val="9"/>
      <x:color rgb="FFC2415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6C5CE7"/>
      </x:patternFill>
    </x:fill>
    <x:fill>
      <x:patternFill patternType="solid">
        <x:fgColor rgb="FFF3F6FC"/>
      </x:patternFill>
    </x:fill>
    <x:fill>
      <x:patternFill patternType="solid">
        <x:fgColor rgb="FFEAF2FF"/>
      </x:patternFill>
    </x:fill>
    <x:fill>
      <x:patternFill patternType="solid">
        <x:fgColor rgb="FFFFF3DD"/>
      </x:patternFill>
    </x:fill>
    <x:fill>
      <x:patternFill patternType="solid">
        <x:fgColor rgb="FFE9F7F0"/>
      </x:patternFill>
    </x:fill>
    <x:fill>
      <x:patternFill patternType="solid">
        <x:fgColor rgb="FFFDECEF"/>
      </x:patternFill>
    </x:fill>
  </x:fills>
  <x:borders count="5">
    <x:border/>
    <x:border>
      <x:left style="thin">
        <x:color rgb="FFCDD6E5"/>
      </x:left>
      <x:right style="thin">
        <x:color rgb="FFCDD6E5"/>
      </x:right>
      <x:top style="thin">
        <x:color rgb="FFCDD6E5"/>
      </x:top>
      <x:bottom style="thin">
        <x:color rgb="FFCDD6E5"/>
      </x:bottom>
    </x:border>
    <x:border>
      <x:left style="thin">
        <x:color rgb="FFE0B05B"/>
      </x:left>
      <x:top style="thin">
        <x:color rgb="FFE0B05B"/>
      </x:top>
      <x:bottom style="thin">
        <x:color rgb="FFE0B05B"/>
      </x:bottom>
    </x:border>
    <x:border>
      <x:top style="thin">
        <x:color rgb="FFE0B05B"/>
      </x:top>
      <x:bottom style="thin">
        <x:color rgb="FFE0B05B"/>
      </x:bottom>
    </x:border>
    <x:border>
      <x:right style="thin">
        <x:color rgb="FFE0B05B"/>
      </x:right>
      <x:top style="thin">
        <x:color rgb="FFE0B05B"/>
      </x:top>
      <x:bottom style="thin">
        <x:color rgb="FFE0B05B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6" fillId="5" borderId="0" xfId="0" applyNumberFormat="1" applyFont="1" applyFill="1" applyBorder="1"/>
    <x:xf numFmtId="200" fontId="6" fillId="5" borderId="0" xfId="0" applyNumberFormat="1" applyFont="1" applyFill="1" applyBorder="1"/>
    <x:xf numFmtId="0" fontId="6" fillId="5" borderId="1" xfId="0" applyNumberFormat="1" applyFont="1" applyFill="1" applyBorder="1"/>
    <x:xf numFmtId="20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200" fontId="6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0" fontId="3" fillId="6" borderId="4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9" fillId="8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9" fillId="6" borderId="1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horizontal="center" vertical="top" wrapText="1"/>
    </x:xf>
    <x:xf numFmtId="0" fontId="7" fillId="7" borderId="1" xfId="0" applyNumberFormat="1" applyFont="1" applyFill="1" applyBorder="1" applyAlignment="1">
      <x:alignment horizontal="center" vertical="top" wrapText="1"/>
    </x:xf>
    <x:xf numFmtId="0" fontId="8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b83ce33f984c9e" /><Relationship Type="http://schemas.openxmlformats.org/officeDocument/2006/relationships/theme" Target="/xl/theme/theme1.xml" Id="R565eae5c05f941f8" /><Relationship Type="http://schemas.openxmlformats.org/officeDocument/2006/relationships/sharedStrings" Target="/xl/sharedStrings.xml" Id="R590b257a17084a37" /><Relationship Type="http://schemas.openxmlformats.org/officeDocument/2006/relationships/worksheet" Target="/xl/worksheets/sheet1.xml" Id="R793acdddfdd840aa" /><Relationship Type="http://schemas.openxmlformats.org/officeDocument/2006/relationships/worksheet" Target="/xl/worksheets/sheet2.xml" Id="R0fe15805d5ca4447" /><Relationship Type="http://schemas.openxmlformats.org/officeDocument/2006/relationships/worksheet" Target="/xl/worksheets/sheet3.xml" Id="R4317416a2cb54a13" /><Relationship Type="http://schemas.openxmlformats.org/officeDocument/2006/relationships/worksheet" Target="/xl/worksheets/sheet4.xml" Id="R4f996d42cf144a4c" /><Relationship Type="http://schemas.openxmlformats.org/officeDocument/2006/relationships/worksheet" Target="/xl/worksheets/sheet5.xml" Id="R6ba64bf2f41d4500" /></Relationships>
</file>

<file path=xl/tables/table1.xml><?xml version="1.0" encoding="utf-8"?>
<x:table xmlns:x="http://schemas.openxmlformats.org/spreadsheetml/2006/main" id="1" name="WorkBreakdownTable" displayName="WorkBreakdownTable" ref="A1:F25" headerRowCount="1" totalsRowCount="0" totalsRowShown="0">
  <x:tableColumns count="6">
    <x:tableColumn id="1" name="ID"/>
    <x:tableColumn id="2" name="Area"/>
    <x:tableColumn id="3" name="Task"/>
    <x:tableColumn id="4" name="Owner"/>
    <x:tableColumn id="5" name="Deliverable / gate"/>
    <x:tableColumn id="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RegisterTable" displayName="RiskRegisterTable" ref="A1:H10" headerRowCount="1" totalsRowCount="0" totalsRowShown="0">
  <x:tableColumns count="8">
    <x:tableColumn id="1" name="ID"/>
    <x:tableColumn id="2" name="Risk / limitation"/>
    <x:tableColumn id="3" name="Owner"/>
    <x:tableColumn id="4" name="Likelihood (1–5)"/>
    <x:tableColumn id="5" name="Impact (1–5)"/>
    <x:tableColumn id="6" name="Score"/>
    <x:tableColumn id="7" name="Mitigation / next action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MatrixTable" displayName="TestMatrixTable" ref="A1:G15" headerRowCount="1" totalsRowCount="0" totalsRowShown="0">
  <x:tableColumns count="7">
    <x:tableColumn id="1" name="ID"/>
    <x:tableColumn id="2" name="Area"/>
    <x:tableColumn id="3" name="Test objective"/>
    <x:tableColumn id="4" name="Type"/>
    <x:tableColumn id="5" name="Execution"/>
    <x:tableColumn id="6" name="Result"/>
    <x:tableColumn id="7" name="Evidence / 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bc00e797ae4c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a2ebefd878b47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35bd7a6d25f4e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3" hidden="0" customWidth="1"/>
    <x:col min="4" max="4" width="27" hidden="0" customWidth="1"/>
    <x:col min="5" max="5" width="15" hidden="0" customWidth="1"/>
    <x:col min="6" max="6" width="3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DESKTOP MESSENGER — PROJECT MANAGEMENT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Submission reconstruction plan • not a verified historical task log</x:v>
      </x:c>
      <x:c r="B2" s="6"/>
      <x:c r="C2" s="6"/>
      <x:c r="D2" s="6"/>
      <x:c r="E2" s="6"/>
      <x:c r="F2" s="6"/>
      <x:c r="G2" s="6"/>
      <x:c r="H2" s="6"/>
    </x:row>
    <x:row r="4">
      <x:c r="A4" s="9" t="str">
        <x:v>Project</x:v>
      </x:c>
      <x:c r="B4" s="13" t="str">
        <x:v>Desktop Messenger</x:v>
      </x:c>
      <x:c r="D4" s="16" t="str">
        <x:v>Completed tasks</x:v>
      </x:c>
      <x:c r="E4" s="23" t="n">
        <x:f>COUNTIF('Work Breakdown'!$F$2:$F$25,"Complete")</x:f>
        <x:v>19</x:v>
      </x:c>
    </x:row>
    <x:row r="5">
      <x:c r="A5" s="9" t="str">
        <x:v>Version concept</x:v>
      </x:c>
      <x:c r="B5" s="13" t="str">
        <x:v>DesktopMessengerPythonSyncedLively</x:v>
      </x:c>
      <x:c r="D5" s="16" t="str">
        <x:v>Total tasks</x:v>
      </x:c>
      <x:c r="E5" s="23" t="n">
        <x:f>COUNTA('Work Breakdown'!$A$2:$A$25)</x:f>
        <x:v>24</x:v>
      </x:c>
    </x:row>
    <x:row r="6">
      <x:c r="A6" s="9" t="str">
        <x:v>Course</x:v>
      </x:c>
      <x:c r="B6" s="13" t="str">
        <x:v>Systems Analysis and Design / تحليل وتصميم النظم</x:v>
      </x:c>
      <x:c r="D6" s="16" t="str">
        <x:v>Completion</x:v>
      </x:c>
      <x:c r="E6" s="24" t="n">
        <x:f>IF(E5=0,0,E4/E5)</x:f>
        <x:v>0.7916666666666666</x:v>
      </x:c>
    </x:row>
    <x:row r="7">
      <x:c r="A7" s="9" t="str">
        <x:v>Students</x:v>
      </x:c>
      <x:c r="B7" s="13" t="str">
        <x:v>يوسف عبدالسلام • علي المختار</x:v>
      </x:c>
      <x:c r="D7" s="16" t="str">
        <x:v>High risks (score ≥ 15)</x:v>
      </x:c>
      <x:c r="E7" s="23" t="n">
        <x:f>COUNTIF('Risk Register'!$F$2:$F$10,"&gt;=15")</x:f>
        <x:v>6</x:v>
      </x:c>
    </x:row>
    <x:row r="8">
      <x:c r="A8" s="9" t="str">
        <x:v>Supervisor</x:v>
      </x:c>
      <x:c r="B8" s="13" t="str">
        <x:v>الدكتور بلال الميتمي</x:v>
      </x:c>
    </x:row>
    <x:row r="9">
      <x:c r="A9" s="9" t="str">
        <x:v>University</x:v>
      </x:c>
      <x:c r="B9" s="13" t="str">
        <x:v>Al Jeel Al Jadeed University</x:v>
      </x:c>
    </x:row>
    <x:row r="12" ht="46" customHeight="1">
      <x:c r="A12" s="33" t="str">
        <x:v>Evidence note: responsibilities are a balanced academic model, not verified historical evidence. Core tests passed; Windows UI, native executable, and two-device acceptance remain explicit gates.</x:v>
      </x:c>
      <x:c r="B12" s="34"/>
      <x:c r="C12" s="34"/>
      <x:c r="D12" s="34"/>
      <x:c r="E12" s="34"/>
      <x:c r="F12" s="34"/>
      <x:c r="G12" s="34"/>
      <x:c r="H12" s="35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55" hidden="0" customWidth="1"/>
    <x:col min="4" max="4" width="16" hidden="0" customWidth="1"/>
    <x:col min="5" max="5" width="34" hidden="0" customWidth="1"/>
    <x:col min="6" max="6" width="16" hidden="0" customWidth="1"/>
  </x:cols>
  <x:sheetData>
    <x:row r="1" ht="28" customHeight="1">
      <x:c r="A1" s="37" t="str">
        <x:v>ID</x:v>
      </x:c>
      <x:c r="B1" s="37" t="str">
        <x:v>Area</x:v>
      </x:c>
      <x:c r="C1" s="37" t="str">
        <x:v>Task</x:v>
      </x:c>
      <x:c r="D1" s="37" t="str">
        <x:v>Owner</x:v>
      </x:c>
      <x:c r="E1" s="37" t="str">
        <x:v>Deliverable / gate</x:v>
      </x:c>
      <x:c r="F1" s="37" t="str">
        <x:v>Status</x:v>
      </x:c>
    </x:row>
    <x:row r="2">
      <x:c r="A2" s="13" t="str">
        <x:v>WBS-01</x:v>
      </x:c>
      <x:c r="B2" s="13" t="str">
        <x:v>Requirements</x:v>
      </x:c>
      <x:c r="C2" s="13" t="str">
        <x:v>Confirm scope, modes, ports and evidence limits</x:v>
      </x:c>
      <x:c r="D2" s="13" t="str">
        <x:v>Joint</x:v>
      </x:c>
      <x:c r="E2" s="13" t="str">
        <x:v>Requirements baseline</x:v>
      </x:c>
      <x:c r="F2" s="39" t="str">
        <x:v>Complete</x:v>
      </x:c>
    </x:row>
    <x:row r="3">
      <x:c r="A3" s="13" t="str">
        <x:v>WBS-02</x:v>
      </x:c>
      <x:c r="B3" s="13" t="str">
        <x:v>Reference audit</x:v>
      </x:c>
      <x:c r="C3" s="13" t="str">
        <x:v>Inventory 1,483 physical files and inspect contents</x:v>
      </x:c>
      <x:c r="D3" s="13" t="str">
        <x:v>Ali</x:v>
      </x:c>
      <x:c r="E3" s="13" t="str">
        <x:v>Audit inventory</x:v>
      </x:c>
      <x:c r="F3" s="39" t="str">
        <x:v>Complete</x:v>
      </x:c>
    </x:row>
    <x:row r="4">
      <x:c r="A4" s="13" t="str">
        <x:v>WBS-03</x:v>
      </x:c>
      <x:c r="B4" s="13" t="str">
        <x:v>Architecture</x:v>
      </x:c>
      <x:c r="C4" s="13" t="str">
        <x:v>Define layered PySide6/SQLite/network/sync design</x:v>
      </x:c>
      <x:c r="D4" s="13" t="str">
        <x:v>Joint</x:v>
      </x:c>
      <x:c r="E4" s="13" t="str">
        <x:v>Architecture model</x:v>
      </x:c>
      <x:c r="F4" s="39" t="str">
        <x:v>Complete</x:v>
      </x:c>
    </x:row>
    <x:row r="5">
      <x:c r="A5" s="13" t="str">
        <x:v>WBS-04</x:v>
      </x:c>
      <x:c r="B5" s="13" t="str">
        <x:v>Database</x:v>
      </x:c>
      <x:c r="C5" s="13" t="str">
        <x:v>Create UUID-based SQLite schema and indexes</x:v>
      </x:c>
      <x:c r="D5" s="13" t="str">
        <x:v>Yousef</x:v>
      </x:c>
      <x:c r="E5" s="13" t="str">
        <x:v>SQL + SQLite database</x:v>
      </x:c>
      <x:c r="F5" s="39" t="str">
        <x:v>Complete</x:v>
      </x:c>
    </x:row>
    <x:row r="6">
      <x:c r="A6" s="13" t="str">
        <x:v>WBS-05</x:v>
      </x:c>
      <x:c r="B6" s="13" t="str">
        <x:v>Security</x:v>
      </x:c>
      <x:c r="C6" s="13" t="str">
        <x:v>Implement scrypt, X25519, HKDF and AES-GCM helpers</x:v>
      </x:c>
      <x:c r="D6" s="13" t="str">
        <x:v>Ali</x:v>
      </x:c>
      <x:c r="E6" s="13" t="str">
        <x:v>Security modules</x:v>
      </x:c>
      <x:c r="F6" s="39" t="str">
        <x:v>Complete</x:v>
      </x:c>
    </x:row>
    <x:row r="7">
      <x:c r="A7" s="13" t="str">
        <x:v>WBS-06</x:v>
      </x:c>
      <x:c r="B7" s="13" t="str">
        <x:v>Networking</x:v>
      </x:c>
      <x:c r="C7" s="13" t="str">
        <x:v>Implement bounded LAN protocol and port 8765 service</x:v>
      </x:c>
      <x:c r="D7" s="13" t="str">
        <x:v>Ali</x:v>
      </x:c>
      <x:c r="E7" s="13" t="str">
        <x:v>LAN modules</x:v>
      </x:c>
      <x:c r="F7" s="39" t="str">
        <x:v>Complete</x:v>
      </x:c>
    </x:row>
    <x:row r="8">
      <x:c r="A8" s="13" t="str">
        <x:v>WBS-07</x:v>
      </x:c>
      <x:c r="B8" s="13" t="str">
        <x:v>Networking</x:v>
      </x:c>
      <x:c r="C8" s="13" t="str">
        <x:v>Implement port 9876 demonstration relay</x:v>
      </x:c>
      <x:c r="D8" s="13" t="str">
        <x:v>Ali</x:v>
      </x:c>
      <x:c r="E8" s="13" t="str">
        <x:v>Relay modules</x:v>
      </x:c>
      <x:c r="F8" s="39" t="str">
        <x:v>Complete</x:v>
      </x:c>
    </x:row>
    <x:row r="9">
      <x:c r="A9" s="13" t="str">
        <x:v>WBS-08</x:v>
      </x:c>
      <x:c r="B9" s="13" t="str">
        <x:v>Synchronization</x:v>
      </x:c>
      <x:c r="C9" s="13" t="str">
        <x:v>Implement pending export, acknowledgement and idempotent apply</x:v>
      </x:c>
      <x:c r="D9" s="13" t="str">
        <x:v>Joint</x:v>
      </x:c>
      <x:c r="E9" s="13" t="str">
        <x:v>Sync engine</x:v>
      </x:c>
      <x:c r="F9" s="39" t="str">
        <x:v>Complete</x:v>
      </x:c>
    </x:row>
    <x:row r="10">
      <x:c r="A10" s="13" t="str">
        <x:v>WBS-09</x:v>
      </x:c>
      <x:c r="B10" s="13" t="str">
        <x:v>Desktop UI</x:v>
      </x:c>
      <x:c r="C10" s="13" t="str">
        <x:v>Create dark navigation shell and feature pages</x:v>
      </x:c>
      <x:c r="D10" s="13" t="str">
        <x:v>Yousef</x:v>
      </x:c>
      <x:c r="E10" s="13" t="str">
        <x:v>PySide6 source</x:v>
      </x:c>
      <x:c r="F10" s="39" t="str">
        <x:v>Complete</x:v>
      </x:c>
    </x:row>
    <x:row r="11">
      <x:c r="A11" s="13" t="str">
        <x:v>WBS-10</x:v>
      </x:c>
      <x:c r="B11" s="13" t="str">
        <x:v>Desktop UI</x:v>
      </x:c>
      <x:c r="C11" s="13" t="str">
        <x:v>Wire UI actions to network/sync controllers</x:v>
      </x:c>
      <x:c r="D11" s="13" t="str">
        <x:v>Joint</x:v>
      </x:c>
      <x:c r="E11" s="13" t="str">
        <x:v>Integrated UI</x:v>
      </x:c>
      <x:c r="F11" s="41" t="str">
        <x:v>Pending</x:v>
      </x:c>
    </x:row>
    <x:row r="12">
      <x:c r="A12" s="13" t="str">
        <x:v>WBS-11</x:v>
      </x:c>
      <x:c r="B12" s="13" t="str">
        <x:v>Mobile</x:v>
      </x:c>
      <x:c r="C12" s="13" t="str">
        <x:v>Create source-only Flutter companion structure</x:v>
      </x:c>
      <x:c r="D12" s="13" t="str">
        <x:v>Yousef</x:v>
      </x:c>
      <x:c r="E12" s="13" t="str">
        <x:v>Flutter source</x:v>
      </x:c>
      <x:c r="F12" s="39" t="str">
        <x:v>Complete</x:v>
      </x:c>
    </x:row>
    <x:row r="13">
      <x:c r="A13" s="13" t="str">
        <x:v>WBS-12</x:v>
      </x:c>
      <x:c r="B13" s="13" t="str">
        <x:v>UML</x:v>
      </x:c>
      <x:c r="C13" s="13" t="str">
        <x:v>Create use case, activity, sequence, state and class views</x:v>
      </x:c>
      <x:c r="D13" s="13" t="str">
        <x:v>Yousef</x:v>
      </x:c>
      <x:c r="E13" s="13" t="str">
        <x:v>UML PNG/SVG/draw.io</x:v>
      </x:c>
      <x:c r="F13" s="39" t="str">
        <x:v>Complete</x:v>
      </x:c>
    </x:row>
    <x:row r="14">
      <x:c r="A14" s="13" t="str">
        <x:v>WBS-13</x:v>
      </x:c>
      <x:c r="B14" s="13" t="str">
        <x:v>DFD</x:v>
      </x:c>
      <x:c r="C14" s="13" t="str">
        <x:v>Create context, Level 0, three Level 1 views and dictionary</x:v>
      </x:c>
      <x:c r="D14" s="13" t="str">
        <x:v>Yousef</x:v>
      </x:c>
      <x:c r="E14" s="13" t="str">
        <x:v>DFD package</x:v>
      </x:c>
      <x:c r="F14" s="39" t="str">
        <x:v>Complete</x:v>
      </x:c>
    </x:row>
    <x:row r="15">
      <x:c r="A15" s="13" t="str">
        <x:v>WBS-14</x:v>
      </x:c>
      <x:c r="B15" s="13" t="str">
        <x:v>Database design</x:v>
      </x:c>
      <x:c r="C15" s="13" t="str">
        <x:v>Create conceptual ER_D and physical ERD</x:v>
      </x:c>
      <x:c r="D15" s="13" t="str">
        <x:v>Yousef</x:v>
      </x:c>
      <x:c r="E15" s="13" t="str">
        <x:v>ERD package</x:v>
      </x:c>
      <x:c r="F15" s="39" t="str">
        <x:v>Complete</x:v>
      </x:c>
    </x:row>
    <x:row r="16">
      <x:c r="A16" s="13" t="str">
        <x:v>WBS-15</x:v>
      </x:c>
      <x:c r="B16" s="13" t="str">
        <x:v>Documentation</x:v>
      </x:c>
      <x:c r="C16" s="13" t="str">
        <x:v>Create academic report and applied lab archive</x:v>
      </x:c>
      <x:c r="D16" s="13" t="str">
        <x:v>Joint</x:v>
      </x:c>
      <x:c r="E16" s="13" t="str">
        <x:v>DOCX/PDF/labs.zip</x:v>
      </x:c>
      <x:c r="F16" s="39" t="str">
        <x:v>Complete</x:v>
      </x:c>
    </x:row>
    <x:row r="17">
      <x:c r="A17" s="13" t="str">
        <x:v>WBS-16</x:v>
      </x:c>
      <x:c r="B17" s="13" t="str">
        <x:v>Core QA</x:v>
      </x:c>
      <x:c r="C17" s="13" t="str">
        <x:v>Compile Python and execute nine unit tests</x:v>
      </x:c>
      <x:c r="D17" s="13" t="str">
        <x:v>Joint</x:v>
      </x:c>
      <x:c r="E17" s="13" t="str">
        <x:v>Test log</x:v>
      </x:c>
      <x:c r="F17" s="39" t="str">
        <x:v>Complete</x:v>
      </x:c>
    </x:row>
    <x:row r="18">
      <x:c r="A18" s="13" t="str">
        <x:v>WBS-17</x:v>
      </x:c>
      <x:c r="B18" s="13" t="str">
        <x:v>Artifact QA</x:v>
      </x:c>
      <x:c r="C18" s="13" t="str">
        <x:v>Render documents, diagrams and spreadsheets</x:v>
      </x:c>
      <x:c r="D18" s="13" t="str">
        <x:v>Yousef</x:v>
      </x:c>
      <x:c r="E18" s="13" t="str">
        <x:v>Visual QA evidence</x:v>
      </x:c>
      <x:c r="F18" s="39" t="str">
        <x:v>Complete</x:v>
      </x:c>
    </x:row>
    <x:row r="19">
      <x:c r="A19" s="13" t="str">
        <x:v>WBS-18</x:v>
      </x:c>
      <x:c r="B19" s="13" t="str">
        <x:v>Database QA</x:v>
      </x:c>
      <x:c r="C19" s="13" t="str">
        <x:v>Run integrity and foreign-key checks</x:v>
      </x:c>
      <x:c r="D19" s="13" t="str">
        <x:v>Yousef</x:v>
      </x:c>
      <x:c r="E19" s="13" t="str">
        <x:v>Validated SQLite file</x:v>
      </x:c>
      <x:c r="F19" s="39" t="str">
        <x:v>Complete</x:v>
      </x:c>
    </x:row>
    <x:row r="20">
      <x:c r="A20" s="13" t="str">
        <x:v>WBS-19</x:v>
      </x:c>
      <x:c r="B20" s="13" t="str">
        <x:v>Windows build</x:v>
      </x:c>
      <x:c r="C20" s="13" t="str">
        <x:v>Build PyInstaller distribution on Windows</x:v>
      </x:c>
      <x:c r="D20" s="13" t="str">
        <x:v>Ali</x:v>
      </x:c>
      <x:c r="E20" s="13" t="str">
        <x:v>DesktopMessenger dist</x:v>
      </x:c>
      <x:c r="F20" s="41" t="str">
        <x:v>Pending</x:v>
      </x:c>
    </x:row>
    <x:row r="21">
      <x:c r="A21" s="13" t="str">
        <x:v>WBS-20</x:v>
      </x:c>
      <x:c r="B21" s="13" t="str">
        <x:v>LAN acceptance</x:v>
      </x:c>
      <x:c r="C21" s="13" t="str">
        <x:v>Test two laptops over hotspot and reconnect</x:v>
      </x:c>
      <x:c r="D21" s="13" t="str">
        <x:v>Joint</x:v>
      </x:c>
      <x:c r="E21" s="13" t="str">
        <x:v>Signed test record</x:v>
      </x:c>
      <x:c r="F21" s="41" t="str">
        <x:v>Pending</x:v>
      </x:c>
    </x:row>
    <x:row r="22">
      <x:c r="A22" s="13" t="str">
        <x:v>WBS-21</x:v>
      </x:c>
      <x:c r="B22" s="13" t="str">
        <x:v>Relay acceptance</x:v>
      </x:c>
      <x:c r="C22" s="13" t="str">
        <x:v>Test reachable non-loopback relay</x:v>
      </x:c>
      <x:c r="D22" s="13" t="str">
        <x:v>Ali</x:v>
      </x:c>
      <x:c r="E22" s="13" t="str">
        <x:v>Signed test record</x:v>
      </x:c>
      <x:c r="F22" s="41" t="str">
        <x:v>Pending</x:v>
      </x:c>
    </x:row>
    <x:row r="23">
      <x:c r="A23" s="13" t="str">
        <x:v>WBS-22</x:v>
      </x:c>
      <x:c r="B23" s="13" t="str">
        <x:v>Security hardening</x:v>
      </x:c>
      <x:c r="C23" s="13" t="str">
        <x:v>Add TLS and peer identity verification</x:v>
      </x:c>
      <x:c r="D23" s="13" t="str">
        <x:v>Joint</x:v>
      </x:c>
      <x:c r="E23" s="13" t="str">
        <x:v>Hardened protocol</x:v>
      </x:c>
      <x:c r="F23" s="43" t="str">
        <x:v>Future</x:v>
      </x:c>
    </x:row>
    <x:row r="24">
      <x:c r="A24" s="13" t="str">
        <x:v>WBS-23</x:v>
      </x:c>
      <x:c r="B24" s="13" t="str">
        <x:v>Final audit</x:v>
      </x:c>
      <x:c r="C24" s="13" t="str">
        <x:v>Scan domain contamination and validate archive</x:v>
      </x:c>
      <x:c r="D24" s="13" t="str">
        <x:v>Joint</x:v>
      </x:c>
      <x:c r="E24" s="13" t="str">
        <x:v>Verification matrix</x:v>
      </x:c>
      <x:c r="F24" s="39" t="str">
        <x:v>Complete</x:v>
      </x:c>
    </x:row>
    <x:row r="25">
      <x:c r="A25" s="13" t="str">
        <x:v>WBS-24</x:v>
      </x:c>
      <x:c r="B25" s="13" t="str">
        <x:v>Submission</x:v>
      </x:c>
      <x:c r="C25" s="13" t="str">
        <x:v>Create final ZIP and record checksum</x:v>
      </x:c>
      <x:c r="D25" s="13" t="str">
        <x:v>Ali</x:v>
      </x:c>
      <x:c r="E25" s="13" t="str">
        <x:v>Final archive</x:v>
      </x:c>
      <x:c r="F25" s="39" t="str">
        <x:v>Complete</x:v>
      </x:c>
    </x:row>
  </x:sheetData>
  <x:dataValidations count="1">
    <x:dataValidation type="list" sqref="F2:F25">
      <x:formula1>"Complete,In Progress,Pending,Future"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bc00e797ae4c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7" hidden="0" customWidth="1"/>
    <x:col min="4" max="4" width="18" hidden="0" customWidth="1"/>
    <x:col min="5" max="5" width="40" hidden="0" customWidth="1"/>
    <x:col min="6" max="6" width="17" hidden="0" customWidth="1"/>
  </x:cols>
  <x:sheetData>
    <x:row r="1" ht="34" customHeight="1">
      <x:c r="A1" s="3" t="str">
        <x:v>RESPONSIBILITY MODEL</x:v>
      </x:c>
      <x:c r="B1" s="3"/>
      <x:c r="C1" s="3"/>
      <x:c r="D1" s="3"/>
      <x:c r="E1" s="3"/>
      <x:c r="F1" s="3"/>
    </x:row>
    <x:row r="2" ht="21" customHeight="1">
      <x:c r="A2" s="6" t="str">
        <x:v>Reasonable balanced model • replace if verified historical allocation is supplied</x:v>
      </x:c>
      <x:c r="B2" s="6"/>
      <x:c r="C2" s="6"/>
      <x:c r="D2" s="6"/>
      <x:c r="E2" s="6"/>
      <x:c r="F2" s="6"/>
    </x:row>
    <x:row r="4" ht="28" customHeight="1">
      <x:c r="A4" s="37" t="str">
        <x:v>Workstream</x:v>
      </x:c>
      <x:c r="B4" s="37" t="str">
        <x:v>Ali — علي المختار</x:v>
      </x:c>
      <x:c r="C4" s="37" t="str">
        <x:v>Yousef — يوسف عبدالسلام</x:v>
      </x:c>
      <x:c r="D4" s="37" t="str">
        <x:v>Joint</x:v>
      </x:c>
      <x:c r="E4" s="37" t="str">
        <x:v>Rationale</x:v>
      </x:c>
      <x:c r="F4" s="37" t="str">
        <x:v>Evidence status</x:v>
      </x:c>
    </x:row>
    <x:row r="5">
      <x:c r="A5" s="13" t="str">
        <x:v>Requirements &amp; coordination</x:v>
      </x:c>
      <x:c r="B5" s="13" t="str">
        <x:v>Lead</x:v>
      </x:c>
      <x:c r="C5" s="13" t="str">
        <x:v>Support</x:v>
      </x:c>
      <x:c r="D5" s="13" t="str">
        <x:v>Approve</x:v>
      </x:c>
      <x:c r="E5" s="13" t="str">
        <x:v>Align scope and submission</x:v>
      </x:c>
      <x:c r="F5" s="13" t="str">
        <x:v>Proposed</x:v>
      </x:c>
    </x:row>
    <x:row r="6">
      <x:c r="A6" s="13" t="str">
        <x:v>Database &amp; data flows</x:v>
      </x:c>
      <x:c r="B6" s="13" t="str">
        <x:v>Review</x:v>
      </x:c>
      <x:c r="C6" s="13" t="str">
        <x:v>Lead</x:v>
      </x:c>
      <x:c r="D6" s="13" t="str">
        <x:v>Approve</x:v>
      </x:c>
      <x:c r="E6" s="13" t="str">
        <x:v>Schema and ERD/DFD continuity</x:v>
      </x:c>
      <x:c r="F6" s="13" t="str">
        <x:v>Proposed</x:v>
      </x:c>
    </x:row>
    <x:row r="7">
      <x:c r="A7" s="13" t="str">
        <x:v>UI/UX</x:v>
      </x:c>
      <x:c r="B7" s="13" t="str">
        <x:v>Review</x:v>
      </x:c>
      <x:c r="C7" s="13" t="str">
        <x:v>Lead</x:v>
      </x:c>
      <x:c r="D7" s="13" t="str">
        <x:v>Integrate</x:v>
      </x:c>
      <x:c r="E7" s="13" t="str">
        <x:v>Desktop interaction and visual evidence</x:v>
      </x:c>
      <x:c r="F7" s="13" t="str">
        <x:v>Proposed</x:v>
      </x:c>
    </x:row>
    <x:row r="8">
      <x:c r="A8" s="13" t="str">
        <x:v>LAN &amp; relay</x:v>
      </x:c>
      <x:c r="B8" s="13" t="str">
        <x:v>Lead</x:v>
      </x:c>
      <x:c r="C8" s="13" t="str">
        <x:v>Support</x:v>
      </x:c>
      <x:c r="D8" s="13" t="str">
        <x:v>Integrate</x:v>
      </x:c>
      <x:c r="E8" s="13" t="str">
        <x:v>Connectivity implementation</x:v>
      </x:c>
      <x:c r="F8" s="13" t="str">
        <x:v>Proposed</x:v>
      </x:c>
    </x:row>
    <x:row r="9">
      <x:c r="A9" s="13" t="str">
        <x:v>Synchronization</x:v>
      </x:c>
      <x:c r="B9" s="13" t="str">
        <x:v>Integrate</x:v>
      </x:c>
      <x:c r="C9" s="13" t="str">
        <x:v>Support</x:v>
      </x:c>
      <x:c r="D9" s="13" t="str">
        <x:v>Lead</x:v>
      </x:c>
      <x:c r="E9" s="13" t="str">
        <x:v>Cross-cutting data consistency</x:v>
      </x:c>
      <x:c r="F9" s="13" t="str">
        <x:v>Proposed</x:v>
      </x:c>
    </x:row>
    <x:row r="10">
      <x:c r="A10" s="13" t="str">
        <x:v>Security</x:v>
      </x:c>
      <x:c r="B10" s="13" t="str">
        <x:v>Review</x:v>
      </x:c>
      <x:c r="C10" s="13" t="str">
        <x:v>Support</x:v>
      </x:c>
      <x:c r="D10" s="13" t="str">
        <x:v>Validate</x:v>
      </x:c>
      <x:c r="E10" s="13" t="str">
        <x:v>Cryptographic and transport controls</x:v>
      </x:c>
      <x:c r="F10" s="13" t="str">
        <x:v>Proposed</x:v>
      </x:c>
    </x:row>
    <x:row r="11">
      <x:c r="A11" s="13" t="str">
        <x:v>Testing</x:v>
      </x:c>
      <x:c r="B11" s="13" t="str">
        <x:v>Network/reconnect</x:v>
      </x:c>
      <x:c r="C11" s="13" t="str">
        <x:v>Functional/data</x:v>
      </x:c>
      <x:c r="D11" s="13" t="str">
        <x:v>Regression</x:v>
      </x:c>
      <x:c r="E11" s="13" t="str">
        <x:v>Evidence by test type</x:v>
      </x:c>
      <x:c r="F11" s="13" t="str">
        <x:v>Proposed</x:v>
      </x:c>
    </x:row>
    <x:row r="12">
      <x:c r="A12" s="13" t="str">
        <x:v>Documentation</x:v>
      </x:c>
      <x:c r="B12" s="13" t="str">
        <x:v>Management/deployment</x:v>
      </x:c>
      <x:c r="C12" s="13" t="str">
        <x:v>Technical/diagrams</x:v>
      </x:c>
      <x:c r="D12" s="13" t="str">
        <x:v>Final review</x:v>
      </x:c>
      <x:c r="E12" s="13" t="str">
        <x:v>Balanced submission effort</x:v>
      </x:c>
      <x:c r="F12" s="13" t="str">
        <x:v>Proposed</x:v>
      </x:c>
    </x:row>
    <x:row r="13">
      <x:c r="A13" s="13" t="str">
        <x:v>Presentation</x:v>
      </x:c>
      <x:c r="B13" s="13" t="str">
        <x:v>Prepare</x:v>
      </x:c>
      <x:c r="C13" s="13" t="str">
        <x:v>Prepare</x:v>
      </x:c>
      <x:c r="D13" s="13" t="str">
        <x:v>Deliver</x:v>
      </x:c>
      <x:c r="E13" s="13" t="str">
        <x:v>Joint academic ownership</x:v>
      </x:c>
      <x:c r="F13" s="13" t="str">
        <x:v>Proposed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16" hidden="0" customWidth="1"/>
    <x:col min="4" max="4" width="17" hidden="0" customWidth="1"/>
    <x:col min="5" max="5" width="15" hidden="0" customWidth="1"/>
    <x:col min="6" max="6" width="10" hidden="0" customWidth="1"/>
    <x:col min="7" max="7" width="55" hidden="0" customWidth="1"/>
    <x:col min="8" max="8" width="14" hidden="0" customWidth="1"/>
  </x:cols>
  <x:sheetData>
    <x:row r="1" ht="28" customHeight="1">
      <x:c r="A1" s="37" t="str">
        <x:v>ID</x:v>
      </x:c>
      <x:c r="B1" s="37" t="str">
        <x:v>Risk / limitation</x:v>
      </x:c>
      <x:c r="C1" s="37" t="str">
        <x:v>Owner</x:v>
      </x:c>
      <x:c r="D1" s="37" t="str">
        <x:v>Likelihood (1–5)</x:v>
      </x:c>
      <x:c r="E1" s="37" t="str">
        <x:v>Impact (1–5)</x:v>
      </x:c>
      <x:c r="F1" s="37" t="str">
        <x:v>Score</x:v>
      </x:c>
      <x:c r="G1" s="37" t="str">
        <x:v>Mitigation / next action</x:v>
      </x:c>
      <x:c r="H1" s="37" t="str">
        <x:v>Status</x:v>
      </x:c>
    </x:row>
    <x:row r="2">
      <x:c r="A2" s="13" t="str">
        <x:v>R-01</x:v>
      </x:c>
      <x:c r="B2" s="13" t="str">
        <x:v>No supplied final Desktop Messenger source</x:v>
      </x:c>
      <x:c r="C2" s="13" t="str">
        <x:v>Joint</x:v>
      </x:c>
      <x:c r="D2" s="44" t="n">
        <x:v>5</x:v>
      </x:c>
      <x:c r="E2" s="44" t="n">
        <x:v>5</x:v>
      </x:c>
      <x:c r="F2" s="46" t="n">
        <x:f>D2*E2</x:f>
        <x:v>25</x:v>
      </x:c>
      <x:c r="G2" s="13" t="str">
        <x:v>Treat reconstruction as baseline and compare if source is supplied</x:v>
      </x:c>
      <x:c r="H2" s="13" t="str">
        <x:v>Open</x:v>
      </x:c>
    </x:row>
    <x:row r="3">
      <x:c r="A3" s="13" t="str">
        <x:v>R-02</x:v>
      </x:c>
      <x:c r="B3" s="13" t="str">
        <x:v>PySide6 UI not launched in generation environment</x:v>
      </x:c>
      <x:c r="C3" s="13" t="str">
        <x:v>Yousef</x:v>
      </x:c>
      <x:c r="D3" s="44" t="n">
        <x:v>4</x:v>
      </x:c>
      <x:c r="E3" s="44" t="n">
        <x:v>4</x:v>
      </x:c>
      <x:c r="F3" s="46" t="n">
        <x:f>D3*E3</x:f>
        <x:v>16</x:v>
      </x:c>
      <x:c r="G3" s="13" t="str">
        <x:v>Run native Windows smoke test</x:v>
      </x:c>
      <x:c r="H3" s="13" t="str">
        <x:v>Open</x:v>
      </x:c>
    </x:row>
    <x:row r="4">
      <x:c r="A4" s="13" t="str">
        <x:v>R-03</x:v>
      </x:c>
      <x:c r="B4" s="13" t="str">
        <x:v>UI network buttons are not wired</x:v>
      </x:c>
      <x:c r="C4" s="13" t="str">
        <x:v>Joint</x:v>
      </x:c>
      <x:c r="D4" s="44" t="n">
        <x:v>5</x:v>
      </x:c>
      <x:c r="E4" s="44" t="n">
        <x:v>4</x:v>
      </x:c>
      <x:c r="F4" s="46" t="n">
        <x:f>D4*E4</x:f>
        <x:v>20</x:v>
      </x:c>
      <x:c r="G4" s="13" t="str">
        <x:v>Integrate controller/async worker</x:v>
      </x:c>
      <x:c r="H4" s="13" t="str">
        <x:v>Open</x:v>
      </x:c>
    </x:row>
    <x:row r="5">
      <x:c r="A5" s="13" t="str">
        <x:v>R-04</x:v>
      </x:c>
      <x:c r="B5" s="13" t="str">
        <x:v>Relay transport lacks TLS</x:v>
      </x:c>
      <x:c r="C5" s="13" t="str">
        <x:v>Ali</x:v>
      </x:c>
      <x:c r="D5" s="44" t="n">
        <x:v>5</x:v>
      </x:c>
      <x:c r="E5" s="44" t="n">
        <x:v>5</x:v>
      </x:c>
      <x:c r="F5" s="46" t="n">
        <x:f>D5*E5</x:f>
        <x:v>25</x:v>
      </x:c>
      <x:c r="G5" s="13" t="str">
        <x:v>Add authenticated TLS before public use</x:v>
      </x:c>
      <x:c r="H5" s="13" t="str">
        <x:v>Open</x:v>
      </x:c>
    </x:row>
    <x:row r="6">
      <x:c r="A6" s="13" t="str">
        <x:v>R-05</x:v>
      </x:c>
      <x:c r="B6" s="13" t="str">
        <x:v>Synchronization supports only selected operations</x:v>
      </x:c>
      <x:c r="C6" s="13" t="str">
        <x:v>Joint</x:v>
      </x:c>
      <x:c r="D6" s="44" t="n">
        <x:v>4</x:v>
      </x:c>
      <x:c r="E6" s="44" t="n">
        <x:v>5</x:v>
      </x:c>
      <x:c r="F6" s="46" t="n">
        <x:f>D6*E6</x:f>
        <x:v>20</x:v>
      </x:c>
      <x:c r="G6" s="13" t="str">
        <x:v>Add versioned handlers and per-entity conflict rules</x:v>
      </x:c>
      <x:c r="H6" s="13" t="str">
        <x:v>Open</x:v>
      </x:c>
    </x:row>
    <x:row r="7">
      <x:c r="A7" s="13" t="str">
        <x:v>R-06</x:v>
      </x:c>
      <x:c r="B7" s="13" t="str">
        <x:v>Hotspot client isolation</x:v>
      </x:c>
      <x:c r="C7" s="13" t="str">
        <x:v>Ali</x:v>
      </x:c>
      <x:c r="D7" s="44" t="n">
        <x:v>3</x:v>
      </x:c>
      <x:c r="E7" s="44" t="n">
        <x:v>4</x:v>
      </x:c>
      <x:c r="F7" s="46" t="n">
        <x:f>D7*E7</x:f>
        <x:v>12</x:v>
      </x:c>
      <x:c r="G7" s="13" t="str">
        <x:v>Verify peer routing and firewall before demonstration</x:v>
      </x:c>
      <x:c r="H7" s="13" t="str">
        <x:v>Open</x:v>
      </x:c>
    </x:row>
    <x:row r="8">
      <x:c r="A8" s="13" t="str">
        <x:v>R-07</x:v>
      </x:c>
      <x:c r="B8" s="13" t="str">
        <x:v>No native Windows executable</x:v>
      </x:c>
      <x:c r="C8" s="13" t="str">
        <x:v>Ali</x:v>
      </x:c>
      <x:c r="D8" s="44" t="n">
        <x:v>4</x:v>
      </x:c>
      <x:c r="E8" s="44" t="n">
        <x:v>4</x:v>
      </x:c>
      <x:c r="F8" s="46" t="n">
        <x:f>D8*E8</x:f>
        <x:v>16</x:v>
      </x:c>
      <x:c r="G8" s="13" t="str">
        <x:v>Build and validate with included PyInstaller specification</x:v>
      </x:c>
      <x:c r="H8" s="13" t="str">
        <x:v>Open</x:v>
      </x:c>
    </x:row>
    <x:row r="9">
      <x:c r="A9" s="13" t="str">
        <x:v>R-08</x:v>
      </x:c>
      <x:c r="B9" s="13" t="str">
        <x:v>Attachment transfer not end-to-end validated</x:v>
      </x:c>
      <x:c r="C9" s="13" t="str">
        <x:v>Yousef</x:v>
      </x:c>
      <x:c r="D9" s="44" t="n">
        <x:v>3</x:v>
      </x:c>
      <x:c r="E9" s="44" t="n">
        <x:v>4</x:v>
      </x:c>
      <x:c r="F9" s="46" t="n">
        <x:f>D9*E9</x:f>
        <x:v>12</x:v>
      </x:c>
      <x:c r="G9" s="13" t="str">
        <x:v>Add encrypted streaming and integrity tests</x:v>
      </x:c>
      <x:c r="H9" s="13" t="str">
        <x:v>Open</x:v>
      </x:c>
    </x:row>
    <x:row r="10">
      <x:c r="A10" s="13" t="str">
        <x:v>R-09</x:v>
      </x:c>
      <x:c r="B10" s="13" t="str">
        <x:v>Clock skew affects timestamp conflict comparison</x:v>
      </x:c>
      <x:c r="C10" s="13" t="str">
        <x:v>Joint</x:v>
      </x:c>
      <x:c r="D10" s="44" t="n">
        <x:v>3</x:v>
      </x:c>
      <x:c r="E10" s="44" t="n">
        <x:v>3</x:v>
      </x:c>
      <x:c r="F10" s="46" t="n">
        <x:f>D10*E10</x:f>
        <x:v>9</x:v>
      </x:c>
      <x:c r="G10" s="13" t="str">
        <x:v>Prefer versions/vector metadata for shared updates</x:v>
      </x:c>
      <x:c r="H10" s="13" t="str">
        <x:v>Open</x:v>
      </x:c>
    </x:row>
  </x:sheetData>
  <x:dataValidations count="1">
    <x:dataValidation type="whole" operator="between" sqref="D2:E10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a2ebefd878b47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" hidden="0" customWidth="1"/>
    <x:col min="3" max="3" width="48" hidden="0" customWidth="1"/>
    <x:col min="4" max="4" width="18" hidden="0" customWidth="1"/>
    <x:col min="5" max="5" width="17" hidden="0" customWidth="1"/>
    <x:col min="6" max="6" width="13" hidden="0" customWidth="1"/>
    <x:col min="7" max="7" width="42" hidden="0" customWidth="1"/>
  </x:cols>
  <x:sheetData>
    <x:row r="1" ht="28" customHeight="1">
      <x:c r="A1" s="37" t="str">
        <x:v>ID</x:v>
      </x:c>
      <x:c r="B1" s="37" t="str">
        <x:v>Area</x:v>
      </x:c>
      <x:c r="C1" s="37" t="str">
        <x:v>Test objective</x:v>
      </x:c>
      <x:c r="D1" s="37" t="str">
        <x:v>Type</x:v>
      </x:c>
      <x:c r="E1" s="37" t="str">
        <x:v>Execution</x:v>
      </x:c>
      <x:c r="F1" s="37" t="str">
        <x:v>Result</x:v>
      </x:c>
      <x:c r="G1" s="37" t="str">
        <x:v>Evidence / limitation</x:v>
      </x:c>
    </x:row>
    <x:row r="2">
      <x:c r="A2" s="13" t="str">
        <x:v>T-01</x:v>
      </x:c>
      <x:c r="B2" s="13" t="str">
        <x:v>Password hashing</x:v>
      </x:c>
      <x:c r="C2" s="13" t="str">
        <x:v>Hash/verify and wrong-password rejection</x:v>
      </x:c>
      <x:c r="D2" s="13" t="str">
        <x:v>Automated unit</x:v>
      </x:c>
      <x:c r="E2" s="13" t="str">
        <x:v>Executed</x:v>
      </x:c>
      <x:c r="F2" s="47" t="str">
        <x:v>PASS</x:v>
      </x:c>
      <x:c r="G2" s="13" t="str">
        <x:v>tests/test_crypto.py</x:v>
      </x:c>
    </x:row>
    <x:row r="3">
      <x:c r="A3" s="13" t="str">
        <x:v>T-02</x:v>
      </x:c>
      <x:c r="B3" s="13" t="str">
        <x:v>Private key protection</x:v>
      </x:c>
      <x:c r="C3" s="13" t="str">
        <x:v>Wrap/recover X25519 private key</x:v>
      </x:c>
      <x:c r="D3" s="13" t="str">
        <x:v>Automated unit</x:v>
      </x:c>
      <x:c r="E3" s="13" t="str">
        <x:v>Executed</x:v>
      </x:c>
      <x:c r="F3" s="47" t="str">
        <x:v>PASS</x:v>
      </x:c>
      <x:c r="G3" s="13" t="str">
        <x:v>tests/test_crypto.py</x:v>
      </x:c>
    </x:row>
    <x:row r="4">
      <x:c r="A4" s="13" t="str">
        <x:v>T-03</x:v>
      </x:c>
      <x:c r="B4" s="13" t="str">
        <x:v>Message cryptography</x:v>
      </x:c>
      <x:c r="C4" s="13" t="str">
        <x:v>X25519/HKDF/AES-GCM round trip</x:v>
      </x:c>
      <x:c r="D4" s="13" t="str">
        <x:v>Automated unit</x:v>
      </x:c>
      <x:c r="E4" s="13" t="str">
        <x:v>Executed</x:v>
      </x:c>
      <x:c r="F4" s="47" t="str">
        <x:v>PASS</x:v>
      </x:c>
      <x:c r="G4" s="13" t="str">
        <x:v>tests/test_crypto.py</x:v>
      </x:c>
    </x:row>
    <x:row r="5">
      <x:c r="A5" s="13" t="str">
        <x:v>T-04</x:v>
      </x:c>
      <x:c r="B5" s="13" t="str">
        <x:v>User authentication</x:v>
      </x:c>
      <x:c r="C5" s="13" t="str">
        <x:v>Create and authenticate account</x:v>
      </x:c>
      <x:c r="D5" s="13" t="str">
        <x:v>Automated unit</x:v>
      </x:c>
      <x:c r="E5" s="13" t="str">
        <x:v>Executed</x:v>
      </x:c>
      <x:c r="F5" s="47" t="str">
        <x:v>PASS</x:v>
      </x:c>
      <x:c r="G5" s="13" t="str">
        <x:v>tests/test_database.py</x:v>
      </x:c>
    </x:row>
    <x:row r="6">
      <x:c r="A6" s="13" t="str">
        <x:v>T-05</x:v>
      </x:c>
      <x:c r="B6" s="13" t="str">
        <x:v>Friend/direct chat</x:v>
      </x:c>
      <x:c r="C6" s="13" t="str">
        <x:v>Accept request and stable chat UUID</x:v>
      </x:c>
      <x:c r="D6" s="13" t="str">
        <x:v>Automated unit</x:v>
      </x:c>
      <x:c r="E6" s="13" t="str">
        <x:v>Executed</x:v>
      </x:c>
      <x:c r="F6" s="47" t="str">
        <x:v>PASS</x:v>
      </x:c>
      <x:c r="G6" s="13" t="str">
        <x:v>tests/test_database.py</x:v>
      </x:c>
    </x:row>
    <x:row r="7">
      <x:c r="A7" s="13" t="str">
        <x:v>T-06</x:v>
      </x:c>
      <x:c r="B7" s="13" t="str">
        <x:v>Protocol frame</x:v>
      </x:c>
      <x:c r="C7" s="13" t="str">
        <x:v>Encode/decode bounded JSON frame</x:v>
      </x:c>
      <x:c r="D7" s="13" t="str">
        <x:v>Automated unit</x:v>
      </x:c>
      <x:c r="E7" s="13" t="str">
        <x:v>Executed</x:v>
      </x:c>
      <x:c r="F7" s="47" t="str">
        <x:v>PASS</x:v>
      </x:c>
      <x:c r="G7" s="13" t="str">
        <x:v>tests/test_protocol.py</x:v>
      </x:c>
    </x:row>
    <x:row r="8">
      <x:c r="A8" s="13" t="str">
        <x:v>T-07</x:v>
      </x:c>
      <x:c r="B8" s="13" t="str">
        <x:v>Relay proof</x:v>
      </x:c>
      <x:c r="C8" s="13" t="str">
        <x:v>Challenge/response proof</x:v>
      </x:c>
      <x:c r="D8" s="13" t="str">
        <x:v>Automated unit</x:v>
      </x:c>
      <x:c r="E8" s="13" t="str">
        <x:v>Executed</x:v>
      </x:c>
      <x:c r="F8" s="47" t="str">
        <x:v>PASS</x:v>
      </x:c>
      <x:c r="G8" s="13" t="str">
        <x:v>tests/test_protocol.py</x:v>
      </x:c>
    </x:row>
    <x:row r="9">
      <x:c r="A9" s="13" t="str">
        <x:v>T-08</x:v>
      </x:c>
      <x:c r="B9" s="13" t="str">
        <x:v>SQLite schema</x:v>
      </x:c>
      <x:c r="C9" s="13" t="str">
        <x:v>Initialize and enable foreign keys</x:v>
      </x:c>
      <x:c r="D9" s="13" t="str">
        <x:v>Automated unit</x:v>
      </x:c>
      <x:c r="E9" s="13" t="str">
        <x:v>Executed</x:v>
      </x:c>
      <x:c r="F9" s="47" t="str">
        <x:v>PASS</x:v>
      </x:c>
      <x:c r="G9" s="13" t="str">
        <x:v>tests/test_schema.py</x:v>
      </x:c>
    </x:row>
    <x:row r="10">
      <x:c r="A10" s="13" t="str">
        <x:v>T-09</x:v>
      </x:c>
      <x:c r="B10" s="13" t="str">
        <x:v>Sync idempotency</x:v>
      </x:c>
      <x:c r="C10" s="13" t="str">
        <x:v>Same operation applied once</x:v>
      </x:c>
      <x:c r="D10" s="13" t="str">
        <x:v>Automated unit</x:v>
      </x:c>
      <x:c r="E10" s="13" t="str">
        <x:v>Executed</x:v>
      </x:c>
      <x:c r="F10" s="47" t="str">
        <x:v>PASS</x:v>
      </x:c>
      <x:c r="G10" s="13" t="str">
        <x:v>tests/test_sync.py</x:v>
      </x:c>
    </x:row>
    <x:row r="11">
      <x:c r="A11" s="13" t="str">
        <x:v>T-10</x:v>
      </x:c>
      <x:c r="B11" s="13" t="str">
        <x:v>PySide6 UI</x:v>
      </x:c>
      <x:c r="C11" s="13" t="str">
        <x:v>Launch, navigate, register and login</x:v>
      </x:c>
      <x:c r="D11" s="13" t="str">
        <x:v>Windows smoke</x:v>
      </x:c>
      <x:c r="E11" s="13" t="str">
        <x:v>Not executed</x:v>
      </x:c>
      <x:c r="F11" s="48" t="str">
        <x:v>PENDING</x:v>
      </x:c>
      <x:c r="G11" s="13" t="str">
        <x:v>PySide6 unavailable here</x:v>
      </x:c>
    </x:row>
    <x:row r="12">
      <x:c r="A12" s="13" t="str">
        <x:v>T-11</x:v>
      </x:c>
      <x:c r="B12" s="13" t="str">
        <x:v>LAN/hotspot</x:v>
      </x:c>
      <x:c r="C12" s="13" t="str">
        <x:v>Two laptops on shared hotspot, port 8765</x:v>
      </x:c>
      <x:c r="D12" s="13" t="str">
        <x:v>Acceptance</x:v>
      </x:c>
      <x:c r="E12" s="13" t="str">
        <x:v>Not executed</x:v>
      </x:c>
      <x:c r="F12" s="48" t="str">
        <x:v>PENDING</x:v>
      </x:c>
      <x:c r="G12" s="13" t="str">
        <x:v>Requires two Windows computers</x:v>
      </x:c>
    </x:row>
    <x:row r="13">
      <x:c r="A13" s="13" t="str">
        <x:v>T-12</x:v>
      </x:c>
      <x:c r="B13" s="13" t="str">
        <x:v>Internet relay</x:v>
      </x:c>
      <x:c r="C13" s="13" t="str">
        <x:v>Reachable non-loopback relay, port 9876</x:v>
      </x:c>
      <x:c r="D13" s="13" t="str">
        <x:v>Acceptance</x:v>
      </x:c>
      <x:c r="E13" s="13" t="str">
        <x:v>Not executed</x:v>
      </x:c>
      <x:c r="F13" s="48" t="str">
        <x:v>PENDING</x:v>
      </x:c>
      <x:c r="G13" s="13" t="str">
        <x:v>Requires reachable relay host</x:v>
      </x:c>
    </x:row>
    <x:row r="14">
      <x:c r="A14" s="13" t="str">
        <x:v>T-13</x:v>
      </x:c>
      <x:c r="B14" s="13" t="str">
        <x:v>Reconnect/retry</x:v>
      </x:c>
      <x:c r="C14" s="13" t="str">
        <x:v>Pending operation automatically retries</x:v>
      </x:c>
      <x:c r="D14" s="13" t="str">
        <x:v>Integration</x:v>
      </x:c>
      <x:c r="E14" s="13" t="str">
        <x:v>Not executed</x:v>
      </x:c>
      <x:c r="F14" s="48" t="str">
        <x:v>PENDING</x:v>
      </x:c>
      <x:c r="G14" s="13" t="str">
        <x:v>Controller/scheduler integration required</x:v>
      </x:c>
    </x:row>
    <x:row r="15">
      <x:c r="A15" s="13" t="str">
        <x:v>T-14</x:v>
      </x:c>
      <x:c r="B15" s="13" t="str">
        <x:v>Windows build</x:v>
      </x:c>
      <x:c r="C15" s="13" t="str">
        <x:v>PyInstaller distribution on clean machine</x:v>
      </x:c>
      <x:c r="D15" s="13" t="str">
        <x:v>Deployment</x:v>
      </x:c>
      <x:c r="E15" s="13" t="str">
        <x:v>Not executed</x:v>
      </x:c>
      <x:c r="F15" s="48" t="str">
        <x:v>PENDING</x:v>
      </x:c>
      <x:c r="G15" s="13" t="str">
        <x:v>Use Published/build_windows.bat</x:v>
      </x:c>
    </x:row>
  </x:sheetData>
  <x:pageMargins left="0.7" right="0.7" top="0.75" bottom="0.75" header="0.3" footer="0.3"/>
  <x:tableParts count="1">
    <x:tablePart xmlns:r="http://schemas.openxmlformats.org/officeDocument/2006/relationships" r:id="Rf35bd7a6d25f4ee2"/>
  </x:tableParts>
</x:worksheet>
</file>